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7307d15fe7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8c41318c91b6480c"/>
    <x:sheet xmlns:r="http://schemas.openxmlformats.org/officeDocument/2006/relationships" name="Pricing Scenarios" sheetId="2" r:id="R0398b357ac364598"/>
    <x:sheet xmlns:r="http://schemas.openxmlformats.org/officeDocument/2006/relationships" name="Read Me" sheetId="3" r:id="R6be9983793324b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;-"/>
    <x:numFmt numFmtId="201" formatCode="0.00%"/>
    <x:numFmt numFmtId="202" formatCode="#,##0"/>
    <x:numFmt numFmtId="203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2B49"/>
      </x:patternFill>
    </x:fill>
    <x:fill>
      <x:patternFill patternType="solid">
        <x:fgColor rgb="FFFFF2C2"/>
      </x:patternFill>
    </x:fill>
    <x:fill>
      <x:patternFill patternType="solid">
        <x:fgColor rgb="FFE9F0F9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202" fontId="2" fillId="0" borderId="0" xfId="0" applyNumberFormat="1" applyFont="1" applyFill="1" applyBorder="1"/>
    <x:xf numFmtId="202" fontId="2" fillId="0" borderId="1" xfId="0" applyNumberFormat="1" applyFont="1" applyFill="1" applyBorder="1"/>
    <x:xf numFmtId="203" fontId="2" fillId="3" borderId="0" xfId="0" applyNumberFormat="1" applyFont="1" applyFill="1" applyBorder="1"/>
    <x:xf numFmtId="203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2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810e706bda4417" /><Relationship Type="http://schemas.openxmlformats.org/officeDocument/2006/relationships/theme" Target="/xl/theme/theme1.xml" Id="Rf45bb9123afe4700" /><Relationship Type="http://schemas.openxmlformats.org/officeDocument/2006/relationships/sharedStrings" Target="/xl/sharedStrings.xml" Id="R47cd7308ba9e476f" /><Relationship Type="http://schemas.openxmlformats.org/officeDocument/2006/relationships/worksheet" Target="/xl/worksheets/sheet1.xml" Id="R8c41318c91b6480c" /><Relationship Type="http://schemas.openxmlformats.org/officeDocument/2006/relationships/worksheet" Target="/xl/worksheets/sheet2.xml" Id="R0398b357ac364598" /><Relationship Type="http://schemas.openxmlformats.org/officeDocument/2006/relationships/worksheet" Target="/xl/worksheets/sheet3.xml" Id="R6be9983793324b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23" hidden="0" customWidth="1"/>
    <x:col min="3" max="3" width="63" hidden="0" customWidth="1"/>
  </x:cols>
  <x:sheetData>
    <x:row r="1" ht="26" customHeight="1">
      <x:c r="A1" s="3" t="str">
        <x:v>E-COMMERCE | PRICING MODEL ASSUMPTIONS</x:v>
      </x:c>
      <x:c r="B1" s="3"/>
      <x:c r="C1" s="3"/>
    </x:row>
    <x:row r="3" ht="26" customHeight="1">
      <x:c r="A3" s="3" t="str">
        <x:v>Model input (INR unless stated)</x:v>
      </x:c>
      <x:c r="B3" s="3" t="str">
        <x:v>Value</x:v>
      </x:c>
      <x:c r="C3" s="3" t="str">
        <x:v>Source / calculation basis</x:v>
      </x:c>
    </x:row>
    <x:row r="4">
      <x:c r="A4" t="str">
        <x:v>Baseline net revenue</x:v>
      </x:c>
      <x:c r="B4" s="12" t="n">
        <x:v>40831958.65</x:v>
      </x:c>
      <x:c r="C4" t="str">
        <x:v>outputs/summary.json → net_revenue_inr</x:v>
      </x:c>
    </x:row>
    <x:row r="5">
      <x:c r="A5" t="str">
        <x:v>Baseline contribution profit</x:v>
      </x:c>
      <x:c r="B5" s="12" t="n">
        <x:v>6091051.84</x:v>
      </x:c>
      <x:c r="C5" t="str">
        <x:v>outputs/summary.json → contribution_profit_inr</x:v>
      </x:c>
    </x:row>
    <x:row r="6">
      <x:c r="A6" t="str">
        <x:v>Loss-making SKU retained revenue</x:v>
      </x:c>
      <x:c r="B6" s="12" t="n">
        <x:v>2254492.71</x:v>
      </x:c>
      <x:c r="C6" t="str">
        <x:v>outputs/summary.json → pricing_target_net_revenue_inr</x:v>
      </x:c>
    </x:row>
    <x:row r="7">
      <x:c r="A7" t="str">
        <x:v>Target SKU effective variable fee rate</x:v>
      </x:c>
      <x:c r="B7" s="14" t="n">
        <x:v>0.0309381</x:v>
      </x:c>
      <x:c r="C7" t="str">
        <x:v>outputs/summary.json → pricing_target_weighted_fee_rate</x:v>
      </x:c>
    </x:row>
    <x:row r="8">
      <x:c r="A8" t="str">
        <x:v>Loss-making SKU count</x:v>
      </x:c>
      <x:c r="B8" s="16" t="n">
        <x:v>10</x:v>
      </x:c>
      <x:c r="C8" t="str">
        <x:v>outputs/summary.json → loss_making_sku_count</x:v>
      </x:c>
    </x:row>
    <x:row r="9">
      <x:c r="A9" t="str">
        <x:v>Synthetic order count</x:v>
      </x:c>
      <x:c r="B9" s="16" t="n">
        <x:v>12000</x:v>
      </x:c>
      <x:c r="C9" t="str">
        <x:v>outputs/summary.json → order_count</x:v>
      </x:c>
    </x:row>
    <x:row r="10">
      <x:c r="A10" t="str">
        <x:v>Unit return rate</x:v>
      </x:c>
      <x:c r="B10" s="14" t="n">
        <x:v>0.05426</x:v>
      </x:c>
      <x:c r="C10" t="str">
        <x:v>outputs/summary.json → unit_return_rate_pct</x:v>
      </x:c>
    </x:row>
    <x:row r="12">
      <x:c r="A12" t="str">
        <x:v>Scope</x:v>
      </x:c>
      <x:c r="B12" t="str">
        <x:v>Illustrative sensitivity, not a causal forecast.</x:v>
      </x:c>
      <x:c r="C12" t="str">
        <x:v>Prices change only for loss-making SKUs; volume and returns are fixed.</x:v>
      </x:c>
    </x:row>
    <x:row r="13">
      <x:c r="A13" t="str">
        <x:v>Not included</x:v>
      </x:c>
      <x:c r="B13" t="str">
        <x:v>Demand elasticity, competitor response, tax, overhead.</x:v>
      </x:c>
      <x:c r="C13" t="str">
        <x:v>Contribution profit is NOT net accounting profit.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6" customHeight="1">
      <x:c r="A1" s="3" t="str">
        <x:v>PRICE INCREASE ON LOSS-MAKING SKUs | WHAT-IF SENSITIVITY</x:v>
      </x:c>
      <x:c r="B1" s="3"/>
      <x:c r="C1" s="3"/>
      <x:c r="D1" s="3"/>
      <x:c r="E1" s="3"/>
      <x:c r="F1" s="3"/>
      <x:c r="G1" s="3"/>
      <x:c r="H1" s="3"/>
    </x:row>
    <x:row r="3" ht="48" customHeight="1">
      <x:c r="A3" s="6" t="str">
        <x:v>Target price increase</x:v>
      </x:c>
      <x:c r="B3" s="6" t="str">
        <x:v>Revenue gain (INR)</x:v>
      </x:c>
      <x:c r="C3" s="6" t="str">
        <x:v>Incremental fees (INR)</x:v>
      </x:c>
      <x:c r="D3" s="6" t="str">
        <x:v>Contribution gain (INR)</x:v>
      </x:c>
      <x:c r="E3" s="6" t="str">
        <x:v>Total net revenue (INR)</x:v>
      </x:c>
      <x:c r="F3" s="6" t="str">
        <x:v>Contribution profit (INR)</x:v>
      </x:c>
      <x:c r="G3" s="6" t="str">
        <x:v>Contribution margin</x:v>
      </x:c>
      <x:c r="H3" s="6" t="str">
        <x:v>Profit uplift vs baseline (INR)</x:v>
      </x:c>
    </x:row>
    <x:row r="4">
      <x:c r="A4" s="26" t="n">
        <x:v>0</x:v>
      </x:c>
      <x:c r="B4" s="27" t="n">
        <x:f>Assumptions!$B$6*A4</x:f>
        <x:v>0</x:v>
      </x:c>
      <x:c r="C4" s="27" t="n">
        <x:f>B4*Assumptions!$B$7</x:f>
        <x:v>0</x:v>
      </x:c>
      <x:c r="D4" s="27" t="n">
        <x:f>B4-C4</x:f>
        <x:v>0</x:v>
      </x:c>
      <x:c r="E4" s="27" t="n">
        <x:f>Assumptions!$B$4+B4</x:f>
        <x:v>40831958.65</x:v>
      </x:c>
      <x:c r="F4" s="27" t="n">
        <x:f>Assumptions!$B$5+D4</x:f>
        <x:v>6091051.84</x:v>
      </x:c>
      <x:c r="G4" s="28" t="n">
        <x:f>IFERROR(F4/E4,0)</x:f>
        <x:v>0.14917363852688953</x:v>
      </x:c>
      <x:c r="H4" s="27" t="n">
        <x:f>F4-Assumptions!$B$5</x:f>
        <x:v>0</x:v>
      </x:c>
    </x:row>
    <x:row r="5">
      <x:c r="A5" s="18" t="n">
        <x:v>0.03</x:v>
      </x:c>
      <x:c r="B5" s="20" t="n">
        <x:f>Assumptions!$B$6*A5</x:f>
        <x:v>67634.7813</x:v>
      </x:c>
      <x:c r="C5" s="20" t="n">
        <x:f>B5*Assumptions!$B$7</x:f>
        <x:v>2092.49162733753</x:v>
      </x:c>
      <x:c r="D5" s="20" t="n">
        <x:f>B5-C5</x:f>
        <x:v>65542.28967266247</x:v>
      </x:c>
      <x:c r="E5" s="20" t="n">
        <x:f>Assumptions!$B$4+B5</x:f>
        <x:v>40899593.4313</x:v>
      </x:c>
      <x:c r="F5" s="20" t="n">
        <x:f>Assumptions!$B$5+D5</x:f>
        <x:v>6156594.129672662</x:v>
      </x:c>
      <x:c r="G5" s="22" t="n">
        <x:f>IFERROR(F5/E5,0)</x:f>
        <x:v>0.1505294701771067</x:v>
      </x:c>
      <x:c r="H5" s="20" t="n">
        <x:f>F5-Assumptions!$B$5</x:f>
        <x:v>65542.2896726625</x:v>
      </x:c>
    </x:row>
    <x:row r="6">
      <x:c r="A6" s="18" t="n">
        <x:v>0.05</x:v>
      </x:c>
      <x:c r="B6" s="20" t="n">
        <x:f>Assumptions!$B$6*A6</x:f>
        <x:v>112724.6355</x:v>
      </x:c>
      <x:c r="C6" s="20" t="n">
        <x:f>B6*Assumptions!$B$7</x:f>
        <x:v>3487.48604556255</x:v>
      </x:c>
      <x:c r="D6" s="20" t="n">
        <x:f>B6-C6</x:f>
        <x:v>109237.14945443746</x:v>
      </x:c>
      <x:c r="E6" s="20" t="n">
        <x:f>Assumptions!$B$4+B6</x:f>
        <x:v>40944683.2855</x:v>
      </x:c>
      <x:c r="F6" s="20" t="n">
        <x:f>Assumptions!$B$5+D6</x:f>
        <x:v>6200288.989454437</x:v>
      </x:c>
      <x:c r="G6" s="22" t="n">
        <x:f>IFERROR(F6/E6,0)</x:f>
        <x:v>0.15143086945430556</x:v>
      </x:c>
      <x:c r="H6" s="20" t="n">
        <x:f>F6-Assumptions!$B$5</x:f>
        <x:v>109237.1494544372</x:v>
      </x:c>
    </x:row>
    <x:row r="7">
      <x:c r="A7" s="18" t="n">
        <x:v>0.08</x:v>
      </x:c>
      <x:c r="B7" s="20" t="n">
        <x:f>Assumptions!$B$6*A7</x:f>
        <x:v>180359.4168</x:v>
      </x:c>
      <x:c r="C7" s="20" t="n">
        <x:f>B7*Assumptions!$B$7</x:f>
        <x:v>5579.9776729000805</x:v>
      </x:c>
      <x:c r="D7" s="20" t="n">
        <x:f>B7-C7</x:f>
        <x:v>174779.43912709993</x:v>
      </x:c>
      <x:c r="E7" s="20" t="n">
        <x:f>Assumptions!$B$4+B7</x:f>
        <x:v>41012318.0668</x:v>
      </x:c>
      <x:c r="F7" s="20" t="n">
        <x:f>Assumptions!$B$5+D7</x:f>
        <x:v>6265831.2791271</x:v>
      </x:c>
      <x:c r="G7" s="22" t="n">
        <x:f>IFERROR(F7/E7,0)</x:f>
        <x:v>0.15277925205108978</x:v>
      </x:c>
      <x:c r="H7" s="20" t="n">
        <x:f>F7-Assumptions!$B$5</x:f>
        <x:v>174779.4391270997</x:v>
      </x:c>
    </x:row>
    <x:row r="8">
      <x:c r="A8" s="18" t="n">
        <x:v>0.1</x:v>
      </x:c>
      <x:c r="B8" s="20" t="n">
        <x:f>Assumptions!$B$6*A8</x:f>
        <x:v>225449.271</x:v>
      </x:c>
      <x:c r="C8" s="20" t="n">
        <x:f>B8*Assumptions!$B$7</x:f>
        <x:v>6974.9720911251</x:v>
      </x:c>
      <x:c r="D8" s="20" t="n">
        <x:f>B8-C8</x:f>
        <x:v>218474.29890887492</x:v>
      </x:c>
      <x:c r="E8" s="20" t="n">
        <x:f>Assumptions!$B$4+B8</x:f>
        <x:v>41057407.921</x:v>
      </x:c>
      <x:c r="F8" s="20" t="n">
        <x:f>Assumptions!$B$5+D8</x:f>
        <x:v>6309526.138908875</x:v>
      </x:c>
      <x:c r="G8" s="22" t="n">
        <x:f>IFERROR(F8/E8,0)</x:f>
        <x:v>0.15367570575934206</x:v>
      </x:c>
      <x:c r="H8" s="20" t="n">
        <x:f>F8-Assumptions!$B$5</x:f>
        <x:v>218474.29890887532</x:v>
      </x:c>
    </x:row>
    <x:row r="11" ht="27" customHeight="1">
      <x:c r="A11" s="24" t="str">
        <x:v>ASSUMPTIONS: no change in units sold, return mix, discounts, SKU costs or shipping; fee scales with net revenue.</x:v>
      </x:c>
      <x:c r="B11" s="24"/>
      <x:c r="C11" s="24"/>
      <x:c r="D11" s="24"/>
      <x:c r="E11" s="24"/>
      <x:c r="F11" s="24"/>
      <x:c r="G11" s="24"/>
      <x:c r="H11" s="24"/>
    </x:row>
    <x:row r="12" ht="27" customHeight="1">
      <x:c r="A12" s="24" t="str">
        <x:v>Illustrative INR-denominated synthetic results, NOT realized sales or guaranteed profit improvement.</x:v>
      </x:c>
      <x:c r="B12" s="24"/>
      <x:c r="C12" s="24"/>
      <x:c r="D12" s="24"/>
      <x:c r="E12" s="24"/>
      <x:c r="F12" s="24"/>
      <x:c r="G12" s="24"/>
      <x:c r="H12" s="24"/>
    </x:row>
  </x:sheetData>
  <x:mergeCells>
    <x:mergeCell ref="A1:H1"/>
    <x:mergeCell ref="A11:H11"/>
    <x:mergeCell ref="A12:H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95" hidden="0" customWidth="1"/>
  </x:cols>
  <x:sheetData>
    <x:row r="1" ht="26" customHeight="1">
      <x:c r="A1" s="3" t="str">
        <x:v>MODEL GUIDE | SOURCES AND LIMITATIONS</x:v>
      </x:c>
      <x:c r="B1" s="3"/>
      <x:c r="C1" s="3"/>
      <x:c r="D1" s="3"/>
    </x:row>
    <x:row r="3">
      <x:c r="A3" t="str">
        <x:v>1. Data origin</x:v>
      </x:c>
      <x:c r="B3" t="str">
        <x:v>100% synthetic e-commerce transactions, generated with seed 2026.</x:v>
      </x:c>
    </x:row>
    <x:row r="4">
      <x:c r="A4" t="str">
        <x:v>2. Input file</x:v>
      </x:c>
      <x:c r="B4" t="str">
        <x:v>outputs/summary.json, created by python -m src.analyze.</x:v>
      </x:c>
    </x:row>
    <x:row r="5">
      <x:c r="A5" t="str">
        <x:v>3. Scenario target</x:v>
      </x:c>
      <x:c r="B5" t="str">
        <x:v>SKUs with aggregate negative contribution profit.</x:v>
      </x:c>
    </x:row>
    <x:row r="6">
      <x:c r="A6" t="str">
        <x:v>4. Price change</x:v>
      </x:c>
      <x:c r="B6" t="str">
        <x:v>Price uplift applied to retained net revenue of target SKUs.</x:v>
      </x:c>
    </x:row>
    <x:row r="7">
      <x:c r="A7" t="str">
        <x:v>5. Variable fees</x:v>
      </x:c>
      <x:c r="B7" t="str">
        <x:v>Fees increase with retained revenue using the target group's effective fee rate.</x:v>
      </x:c>
    </x:row>
    <x:row r="8">
      <x:c r="A8" t="str">
        <x:v>6. Fixed items</x:v>
      </x:c>
      <x:c r="B8" t="str">
        <x:v>Sales quantities, returned units, mix, discounts, unit costs, outbound shipping.</x:v>
      </x:c>
    </x:row>
    <x:row r="9">
      <x:c r="A9" t="str">
        <x:v>7. Exclusions</x:v>
      </x:c>
      <x:c r="B9" t="str">
        <x:v>Demand elasticity, taxes, fixed overhead, advertising, return logistics.</x:v>
      </x:c>
    </x:row>
    <x:row r="11">
      <x:c r="A11" t="str">
        <x:v>How to use</x:v>
      </x:c>
      <x:c r="B11" t="str">
        <x:v>Change blue price-increase inputs in Pricing Scenarios!A4:A8.</x:v>
      </x:c>
    </x:row>
    <x:row r="12">
      <x:c r="A12" t="str">
        <x:v>Data refresh</x:v>
      </x:c>
      <x:c r="B12" t="str">
        <x:v>Re-run the analysis and update blue hardcoded inputs in Assumptions!B4:B10.</x:v>
      </x:c>
    </x:row>
    <x:row r="13">
      <x:c r="A13" t="str">
        <x:v>Limitation</x:v>
      </x:c>
      <x:c r="B13" t="str">
        <x:v>This fixed-input workbook does not automatically refresh CSV data.</x:v>
      </x:c>
    </x:row>
  </x:sheetData>
  <x:mergeCells>
    <x:mergeCell ref="A1:D1"/>
  </x:mergeCells>
  <x:pageMargins left="0.7" right="0.7" top="0.75" bottom="0.75" header="0.3" footer="0.3"/>
</x:worksheet>
</file>